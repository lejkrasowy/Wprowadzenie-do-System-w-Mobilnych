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44D6BFCF-F3A6-4D8C-AE6A-D84A195720BA}" xr6:coauthVersionLast="47" xr6:coauthVersionMax="47" xr10:uidLastSave="{00000000-0000-0000-0000-000000000000}"/>
  <bookViews>
    <workbookView xWindow="-120" yWindow="-120" windowWidth="38640" windowHeight="21120" xr2:uid="{AFC29C76-8886-4ECD-B339-852B5BA5D2D7}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K11" i="1" s="1"/>
  <c r="J12" i="1"/>
  <c r="K12" i="1" s="1"/>
  <c r="J13" i="1"/>
  <c r="K13" i="1" s="1"/>
  <c r="J14" i="1"/>
  <c r="K14" i="1" s="1"/>
  <c r="J15" i="1"/>
  <c r="J16" i="1"/>
  <c r="J17" i="1"/>
  <c r="J18" i="1"/>
  <c r="J19" i="1"/>
  <c r="K19" i="1" s="1"/>
  <c r="L19" i="1" s="1"/>
  <c r="J20" i="1"/>
  <c r="J21" i="1"/>
  <c r="K21" i="1" s="1"/>
  <c r="L21" i="1" s="1"/>
  <c r="J22" i="1"/>
  <c r="J23" i="1"/>
  <c r="K23" i="1" s="1"/>
  <c r="J24" i="1"/>
  <c r="K24" i="1" s="1"/>
  <c r="J25" i="1"/>
  <c r="K25" i="1" s="1"/>
  <c r="J26" i="1"/>
  <c r="K26" i="1" s="1"/>
  <c r="J27" i="1"/>
  <c r="J28" i="1"/>
  <c r="J29" i="1"/>
  <c r="J30" i="1"/>
  <c r="J31" i="1"/>
  <c r="K31" i="1" s="1"/>
  <c r="L31" i="1" s="1"/>
  <c r="J32" i="1"/>
  <c r="J33" i="1"/>
  <c r="K33" i="1" s="1"/>
  <c r="L33" i="1" s="1"/>
  <c r="J2" i="1"/>
  <c r="K2" i="1" s="1"/>
  <c r="L2" i="1" s="1"/>
  <c r="K7" i="1"/>
  <c r="K8" i="1"/>
  <c r="K9" i="1"/>
  <c r="L9" i="1" s="1"/>
  <c r="K10" i="1"/>
  <c r="D3" i="1"/>
  <c r="D4" i="1"/>
  <c r="D5" i="1"/>
  <c r="D6" i="1"/>
  <c r="D7" i="1"/>
  <c r="D8" i="1"/>
  <c r="D9" i="1"/>
  <c r="D10" i="1"/>
  <c r="D11" i="1"/>
  <c r="I30" i="1" s="1"/>
  <c r="D12" i="1"/>
  <c r="D13" i="1"/>
  <c r="I20" i="1" s="1"/>
  <c r="D14" i="1"/>
  <c r="H10" i="1" s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H12" i="1"/>
  <c r="I6" i="1"/>
  <c r="I18" i="1"/>
  <c r="H22" i="1"/>
  <c r="H32" i="1"/>
  <c r="D2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L7" i="1" l="1"/>
  <c r="L8" i="1"/>
  <c r="L10" i="1"/>
  <c r="M10" i="1" s="1"/>
  <c r="K32" i="1"/>
  <c r="L32" i="1" s="1"/>
  <c r="M32" i="1" s="1"/>
  <c r="K22" i="1"/>
  <c r="L22" i="1" s="1"/>
  <c r="M22" i="1" s="1"/>
  <c r="K20" i="1"/>
  <c r="L20" i="1" s="1"/>
  <c r="M20" i="1" s="1"/>
  <c r="K30" i="1"/>
  <c r="L30" i="1" s="1"/>
  <c r="M30" i="1" s="1"/>
  <c r="K18" i="1"/>
  <c r="L18" i="1" s="1"/>
  <c r="M18" i="1" s="1"/>
  <c r="K6" i="1"/>
  <c r="L6" i="1" s="1"/>
  <c r="M6" i="1" s="1"/>
  <c r="L26" i="1"/>
  <c r="M26" i="1" s="1"/>
  <c r="L14" i="1"/>
  <c r="M14" i="1" s="1"/>
  <c r="M2" i="1"/>
  <c r="K29" i="1"/>
  <c r="L29" i="1" s="1"/>
  <c r="M29" i="1" s="1"/>
  <c r="K17" i="1"/>
  <c r="L17" i="1" s="1"/>
  <c r="M17" i="1" s="1"/>
  <c r="K5" i="1"/>
  <c r="L5" i="1" s="1"/>
  <c r="M5" i="1" s="1"/>
  <c r="L25" i="1"/>
  <c r="M25" i="1" s="1"/>
  <c r="L13" i="1"/>
  <c r="M13" i="1" s="1"/>
  <c r="M33" i="1"/>
  <c r="M21" i="1"/>
  <c r="M9" i="1"/>
  <c r="K28" i="1"/>
  <c r="L28" i="1" s="1"/>
  <c r="M28" i="1" s="1"/>
  <c r="K16" i="1"/>
  <c r="L16" i="1" s="1"/>
  <c r="M16" i="1" s="1"/>
  <c r="K4" i="1"/>
  <c r="L4" i="1" s="1"/>
  <c r="M4" i="1" s="1"/>
  <c r="L24" i="1"/>
  <c r="M24" i="1" s="1"/>
  <c r="L12" i="1"/>
  <c r="M12" i="1" s="1"/>
  <c r="M8" i="1"/>
  <c r="K27" i="1"/>
  <c r="L27" i="1" s="1"/>
  <c r="M27" i="1" s="1"/>
  <c r="K15" i="1"/>
  <c r="L15" i="1" s="1"/>
  <c r="M15" i="1" s="1"/>
  <c r="K3" i="1"/>
  <c r="L3" i="1" s="1"/>
  <c r="M3" i="1" s="1"/>
  <c r="L23" i="1"/>
  <c r="M23" i="1" s="1"/>
  <c r="L11" i="1"/>
  <c r="M11" i="1" s="1"/>
  <c r="M31" i="1"/>
  <c r="M19" i="1"/>
  <c r="M7" i="1"/>
  <c r="I8" i="1"/>
  <c r="H33" i="1"/>
  <c r="H7" i="1"/>
  <c r="I23" i="1"/>
  <c r="H23" i="1"/>
  <c r="H11" i="1"/>
  <c r="I31" i="1"/>
  <c r="I19" i="1"/>
  <c r="I7" i="1"/>
  <c r="I29" i="1"/>
  <c r="I17" i="1"/>
  <c r="I5" i="1"/>
  <c r="I16" i="1"/>
  <c r="I4" i="1"/>
  <c r="H20" i="1"/>
  <c r="I27" i="1"/>
  <c r="I15" i="1"/>
  <c r="I3" i="1"/>
  <c r="I14" i="1"/>
  <c r="I13" i="1"/>
  <c r="I28" i="1"/>
  <c r="H30" i="1"/>
  <c r="H18" i="1"/>
  <c r="H6" i="1"/>
  <c r="I26" i="1"/>
  <c r="H29" i="1"/>
  <c r="H17" i="1"/>
  <c r="H5" i="1"/>
  <c r="I25" i="1"/>
  <c r="H28" i="1"/>
  <c r="H16" i="1"/>
  <c r="H4" i="1"/>
  <c r="I24" i="1"/>
  <c r="I12" i="1"/>
  <c r="H9" i="1"/>
  <c r="H15" i="1"/>
  <c r="I11" i="1"/>
  <c r="H19" i="1"/>
  <c r="H14" i="1"/>
  <c r="I22" i="1"/>
  <c r="I10" i="1"/>
  <c r="H21" i="1"/>
  <c r="H31" i="1"/>
  <c r="H25" i="1"/>
  <c r="I9" i="1"/>
  <c r="H8" i="1"/>
  <c r="H27" i="1"/>
  <c r="H3" i="1"/>
  <c r="H26" i="1"/>
  <c r="I2" i="1"/>
  <c r="H13" i="1"/>
  <c r="I33" i="1"/>
  <c r="I21" i="1"/>
  <c r="H24" i="1"/>
  <c r="I32" i="1"/>
  <c r="H2" i="1"/>
</calcChain>
</file>

<file path=xl/sharedStrings.xml><?xml version="1.0" encoding="utf-8"?>
<sst xmlns="http://schemas.openxmlformats.org/spreadsheetml/2006/main" count="13" uniqueCount="13">
  <si>
    <t>Nr studenta</t>
  </si>
  <si>
    <t>czas obsługi</t>
  </si>
  <si>
    <t>liczba stanowisk obsługi r</t>
  </si>
  <si>
    <t>czas 
(w min.)</t>
  </si>
  <si>
    <t>l</t>
  </si>
  <si>
    <t>m</t>
  </si>
  <si>
    <t>r</t>
  </si>
  <si>
    <t>Q</t>
  </si>
  <si>
    <t>W</t>
  </si>
  <si>
    <t>P(n=0)</t>
  </si>
  <si>
    <t>czas obslugi w min.</t>
  </si>
  <si>
    <t>czas przybycia studenta</t>
  </si>
  <si>
    <t xml:space="preserve"> czas przybycia studenta narastająco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</si>
</sst>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Zmiany przeciętnej stopy przybyć </a:t>
            </a:r>
            <a:r>
              <a:rPr lang="el-GR" sz="1400" b="0" i="0" u="none" strike="noStrike" baseline="0"/>
              <a:t>λ </a:t>
            </a:r>
            <a:r>
              <a:rPr lang="pl-PL" sz="1400" b="0" i="0" u="none" strike="noStrike" baseline="0"/>
              <a:t>i przeciętnej stopy obsługi </a:t>
            </a:r>
            <a:r>
              <a:rPr lang="el-GR" sz="1400" b="0" i="0" u="none" strike="noStrike" baseline="0"/>
              <a:t>μ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Arkusz1!$H$1</c:f>
              <c:strCache>
                <c:ptCount val="1"/>
                <c:pt idx="0">
                  <c:v>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Arkusz1!$H$2:$H$33</c:f>
              <c:numCache>
                <c:formatCode>General</c:formatCode>
                <c:ptCount val="3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2.75</c:v>
                </c:pt>
                <c:pt idx="4">
                  <c:v>2.6</c:v>
                </c:pt>
                <c:pt idx="5">
                  <c:v>2.3333333333333335</c:v>
                </c:pt>
                <c:pt idx="6">
                  <c:v>2.1428571428571428</c:v>
                </c:pt>
                <c:pt idx="7">
                  <c:v>2.125</c:v>
                </c:pt>
                <c:pt idx="8">
                  <c:v>2</c:v>
                </c:pt>
                <c:pt idx="9">
                  <c:v>1.9</c:v>
                </c:pt>
                <c:pt idx="10">
                  <c:v>1.8181818181818181</c:v>
                </c:pt>
                <c:pt idx="11">
                  <c:v>1.75</c:v>
                </c:pt>
                <c:pt idx="12">
                  <c:v>1.6923076923076923</c:v>
                </c:pt>
                <c:pt idx="13">
                  <c:v>1.7142857142857142</c:v>
                </c:pt>
                <c:pt idx="14">
                  <c:v>1.7333333333333334</c:v>
                </c:pt>
                <c:pt idx="15">
                  <c:v>1.75</c:v>
                </c:pt>
                <c:pt idx="16">
                  <c:v>1.7058823529411764</c:v>
                </c:pt>
                <c:pt idx="17">
                  <c:v>1.6666666666666667</c:v>
                </c:pt>
                <c:pt idx="18">
                  <c:v>1.6842105263157894</c:v>
                </c:pt>
                <c:pt idx="19">
                  <c:v>1.6</c:v>
                </c:pt>
                <c:pt idx="20">
                  <c:v>1.5238095238095237</c:v>
                </c:pt>
                <c:pt idx="21">
                  <c:v>1.4545454545454546</c:v>
                </c:pt>
                <c:pt idx="22">
                  <c:v>1.3913043478260869</c:v>
                </c:pt>
                <c:pt idx="23">
                  <c:v>1.3333333333333333</c:v>
                </c:pt>
                <c:pt idx="24">
                  <c:v>1.28</c:v>
                </c:pt>
                <c:pt idx="25">
                  <c:v>1.2307692307692308</c:v>
                </c:pt>
                <c:pt idx="26">
                  <c:v>1.1851851851851851</c:v>
                </c:pt>
                <c:pt idx="27">
                  <c:v>1.1428571428571428</c:v>
                </c:pt>
                <c:pt idx="28">
                  <c:v>1.103448275862069</c:v>
                </c:pt>
                <c:pt idx="29">
                  <c:v>1.0666666666666667</c:v>
                </c:pt>
                <c:pt idx="30">
                  <c:v>1.032258064516129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34-4ECB-8537-1B7E25C0D1C4}"/>
            </c:ext>
          </c:extLst>
        </c:ser>
        <c:ser>
          <c:idx val="2"/>
          <c:order val="1"/>
          <c:tx>
            <c:strRef>
              <c:f>Arkusz1!$I$1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Arkusz1!$I$2:$I$33</c:f>
              <c:numCache>
                <c:formatCode>General</c:formatCode>
                <c:ptCount val="32"/>
                <c:pt idx="0">
                  <c:v>1.0909090909090908</c:v>
                </c:pt>
                <c:pt idx="1">
                  <c:v>1.0666666666666667</c:v>
                </c:pt>
                <c:pt idx="2">
                  <c:v>1.125</c:v>
                </c:pt>
                <c:pt idx="3">
                  <c:v>1.03125</c:v>
                </c:pt>
                <c:pt idx="4">
                  <c:v>1.0064516129032259</c:v>
                </c:pt>
                <c:pt idx="5">
                  <c:v>0.98823529411764699</c:v>
                </c:pt>
                <c:pt idx="6">
                  <c:v>0.98901098901098905</c:v>
                </c:pt>
                <c:pt idx="7">
                  <c:v>0.99512195121951219</c:v>
                </c:pt>
                <c:pt idx="8">
                  <c:v>0.99082568807339444</c:v>
                </c:pt>
                <c:pt idx="9">
                  <c:v>0.98701298701298701</c:v>
                </c:pt>
                <c:pt idx="10">
                  <c:v>0.97560975609756095</c:v>
                </c:pt>
                <c:pt idx="11">
                  <c:v>0.96923076923076923</c:v>
                </c:pt>
                <c:pt idx="12">
                  <c:v>0.97058823529411764</c:v>
                </c:pt>
                <c:pt idx="13">
                  <c:v>0.96839273705447204</c:v>
                </c:pt>
                <c:pt idx="14">
                  <c:v>0.98298676748582225</c:v>
                </c:pt>
                <c:pt idx="15">
                  <c:v>0.97845078625509618</c:v>
                </c:pt>
                <c:pt idx="16">
                  <c:v>0.97917839054586386</c:v>
                </c:pt>
                <c:pt idx="17">
                  <c:v>0.99064391854705558</c:v>
                </c:pt>
                <c:pt idx="18">
                  <c:v>0.98613251155624038</c:v>
                </c:pt>
                <c:pt idx="19">
                  <c:v>0.98613251155624038</c:v>
                </c:pt>
                <c:pt idx="20">
                  <c:v>0.98613251155624038</c:v>
                </c:pt>
                <c:pt idx="21">
                  <c:v>0.98613251155624038</c:v>
                </c:pt>
                <c:pt idx="22">
                  <c:v>0.98613251155624038</c:v>
                </c:pt>
                <c:pt idx="23">
                  <c:v>0.98613251155624038</c:v>
                </c:pt>
                <c:pt idx="24">
                  <c:v>0.98613251155624038</c:v>
                </c:pt>
                <c:pt idx="25">
                  <c:v>0.98613251155624038</c:v>
                </c:pt>
                <c:pt idx="26">
                  <c:v>0.98613251155624038</c:v>
                </c:pt>
                <c:pt idx="27">
                  <c:v>0.98613251155624038</c:v>
                </c:pt>
                <c:pt idx="28">
                  <c:v>0.98613251155624038</c:v>
                </c:pt>
                <c:pt idx="29">
                  <c:v>0.98613251155624038</c:v>
                </c:pt>
                <c:pt idx="30">
                  <c:v>0.98613251155624038</c:v>
                </c:pt>
                <c:pt idx="31">
                  <c:v>0.98613251155624038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34-4ECB-8537-1B7E25C0D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043648"/>
        <c:axId val="1631050368"/>
      </c:lineChart>
      <c:catAx>
        <c:axId val="163104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31050368"/>
        <c:crosses val="autoZero"/>
        <c:auto val="1"/>
        <c:lblAlgn val="ctr"/>
        <c:lblOffset val="100"/>
        <c:noMultiLvlLbl val="0"/>
      </c:catAx>
      <c:valAx>
        <c:axId val="163105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3104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Zmiany parametru intensywności ruchu </a:t>
            </a:r>
            <a:r>
              <a:rPr lang="el-GR" sz="1400" b="0" i="0" u="none" strike="noStrike" baseline="0"/>
              <a:t>ρ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Arkusz1!$J$1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Arkusz1!$J$2:$J$33</c:f>
              <c:numCache>
                <c:formatCode>General</c:formatCode>
                <c:ptCount val="32"/>
                <c:pt idx="0">
                  <c:v>0.6875</c:v>
                </c:pt>
                <c:pt idx="1">
                  <c:v>0.46875</c:v>
                </c:pt>
                <c:pt idx="2">
                  <c:v>0.44444444444444442</c:v>
                </c:pt>
                <c:pt idx="3">
                  <c:v>0.66666666666666663</c:v>
                </c:pt>
                <c:pt idx="4">
                  <c:v>0.64583333333333326</c:v>
                </c:pt>
                <c:pt idx="5">
                  <c:v>0.5902777777777779</c:v>
                </c:pt>
                <c:pt idx="6">
                  <c:v>0.54166666666666663</c:v>
                </c:pt>
                <c:pt idx="7">
                  <c:v>0.53385416666666663</c:v>
                </c:pt>
                <c:pt idx="8">
                  <c:v>0.50462962962962965</c:v>
                </c:pt>
                <c:pt idx="9">
                  <c:v>0.48124999999999996</c:v>
                </c:pt>
                <c:pt idx="10">
                  <c:v>0.46590909090909088</c:v>
                </c:pt>
                <c:pt idx="11">
                  <c:v>0.4513888888888889</c:v>
                </c:pt>
                <c:pt idx="12">
                  <c:v>0.4358974358974359</c:v>
                </c:pt>
                <c:pt idx="13">
                  <c:v>0.44255952380952379</c:v>
                </c:pt>
                <c:pt idx="14">
                  <c:v>0.44083333333333335</c:v>
                </c:pt>
                <c:pt idx="15">
                  <c:v>0.44713541666666662</c:v>
                </c:pt>
                <c:pt idx="16">
                  <c:v>0.43553921568627446</c:v>
                </c:pt>
                <c:pt idx="17">
                  <c:v>0.42060185185185189</c:v>
                </c:pt>
                <c:pt idx="18">
                  <c:v>0.42697368421052628</c:v>
                </c:pt>
                <c:pt idx="19">
                  <c:v>0.40562500000000001</c:v>
                </c:pt>
                <c:pt idx="20">
                  <c:v>0.38630952380952377</c:v>
                </c:pt>
                <c:pt idx="21">
                  <c:v>0.36875000000000002</c:v>
                </c:pt>
                <c:pt idx="22">
                  <c:v>0.35271739130434782</c:v>
                </c:pt>
                <c:pt idx="23">
                  <c:v>0.33802083333333333</c:v>
                </c:pt>
                <c:pt idx="24">
                  <c:v>0.32450000000000001</c:v>
                </c:pt>
                <c:pt idx="25">
                  <c:v>0.31201923076923077</c:v>
                </c:pt>
                <c:pt idx="26">
                  <c:v>0.30046296296296293</c:v>
                </c:pt>
                <c:pt idx="27">
                  <c:v>0.28973214285714283</c:v>
                </c:pt>
                <c:pt idx="28">
                  <c:v>0.27974137931034482</c:v>
                </c:pt>
                <c:pt idx="29">
                  <c:v>0.27041666666666664</c:v>
                </c:pt>
                <c:pt idx="30">
                  <c:v>0.26169354838709674</c:v>
                </c:pt>
                <c:pt idx="31">
                  <c:v>0.25351562500000002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E3-4C9E-B0A2-938B9336D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272448"/>
        <c:axId val="1448268608"/>
      </c:lineChart>
      <c:catAx>
        <c:axId val="1448272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8268608"/>
        <c:crosses val="autoZero"/>
        <c:auto val="1"/>
        <c:lblAlgn val="ctr"/>
        <c:lblOffset val="100"/>
        <c:noMultiLvlLbl val="0"/>
      </c:catAx>
      <c:valAx>
        <c:axId val="14482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827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Zmiany średniej liczby oczekujących Q oraz średniego czasu oczekiwania W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Arkusz1!$L$1</c:f>
              <c:strCache>
                <c:ptCount val="1"/>
                <c:pt idx="0">
                  <c:v>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Arkusz1!$L$2:$L$33</c:f>
              <c:numCache>
                <c:formatCode>General</c:formatCode>
                <c:ptCount val="32"/>
                <c:pt idx="0">
                  <c:v>0.90083342655778054</c:v>
                </c:pt>
                <c:pt idx="1">
                  <c:v>0.12764647385598502</c:v>
                </c:pt>
                <c:pt idx="2">
                  <c:v>9.9166250548519339E-2</c:v>
                </c:pt>
                <c:pt idx="3">
                  <c:v>0.75683665927568355</c:v>
                </c:pt>
                <c:pt idx="4">
                  <c:v>0.63557303658940156</c:v>
                </c:pt>
                <c:pt idx="5">
                  <c:v>0.39584421318690594</c:v>
                </c:pt>
                <c:pt idx="6">
                  <c:v>0.25700815547313777</c:v>
                </c:pt>
                <c:pt idx="7">
                  <c:v>0.23925188452558097</c:v>
                </c:pt>
                <c:pt idx="8">
                  <c:v>0.18183248646480912</c:v>
                </c:pt>
                <c:pt idx="9">
                  <c:v>0.14473335214443026</c:v>
                </c:pt>
                <c:pt idx="10">
                  <c:v>0.12400614023703936</c:v>
                </c:pt>
                <c:pt idx="11">
                  <c:v>0.10670875768993819</c:v>
                </c:pt>
                <c:pt idx="12">
                  <c:v>9.0486478090583161E-2</c:v>
                </c:pt>
                <c:pt idx="13">
                  <c:v>9.7196043592740478E-2</c:v>
                </c:pt>
                <c:pt idx="14">
                  <c:v>9.5419880542977897E-2</c:v>
                </c:pt>
                <c:pt idx="15">
                  <c:v>0.10203540074929716</c:v>
                </c:pt>
                <c:pt idx="16">
                  <c:v>9.0136683083436933E-2</c:v>
                </c:pt>
                <c:pt idx="17">
                  <c:v>7.6496791279144744E-2</c:v>
                </c:pt>
                <c:pt idx="18">
                  <c:v>8.2093987713065933E-2</c:v>
                </c:pt>
                <c:pt idx="19">
                  <c:v>6.4545984580496096E-2</c:v>
                </c:pt>
                <c:pt idx="20">
                  <c:v>5.1395186689056127E-2</c:v>
                </c:pt>
                <c:pt idx="21">
                  <c:v>4.1384629055323391E-2</c:v>
                </c:pt>
                <c:pt idx="22">
                  <c:v>3.3659020282929115E-2</c:v>
                </c:pt>
                <c:pt idx="23">
                  <c:v>2.7623501182649047E-2</c:v>
                </c:pt>
                <c:pt idx="24">
                  <c:v>2.2856359349080226E-2</c:v>
                </c:pt>
                <c:pt idx="25">
                  <c:v>1.9053542627608056E-2</c:v>
                </c:pt>
                <c:pt idx="26">
                  <c:v>1.5992508807001708E-2</c:v>
                </c:pt>
                <c:pt idx="27">
                  <c:v>1.3508157966688498E-2</c:v>
                </c:pt>
                <c:pt idx="28">
                  <c:v>1.1476498080449605E-2</c:v>
                </c:pt>
                <c:pt idx="29">
                  <c:v>9.8033665921952139E-3</c:v>
                </c:pt>
                <c:pt idx="30">
                  <c:v>8.4165211281097534E-3</c:v>
                </c:pt>
                <c:pt idx="31">
                  <c:v>7.2600141661612345E-3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D-442A-9782-2DAE77527A25}"/>
            </c:ext>
          </c:extLst>
        </c:ser>
        <c:ser>
          <c:idx val="2"/>
          <c:order val="1"/>
          <c:tx>
            <c:strRef>
              <c:f>Arkusz1!$M$1</c:f>
              <c:strCache>
                <c:ptCount val="1"/>
                <c:pt idx="0">
                  <c:v>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Arkusz1!$M$2:$M$33</c:f>
              <c:numCache>
                <c:formatCode>General</c:formatCode>
                <c:ptCount val="32"/>
                <c:pt idx="0">
                  <c:v>0.30027780885259353</c:v>
                </c:pt>
                <c:pt idx="1">
                  <c:v>6.3823236927992508E-2</c:v>
                </c:pt>
                <c:pt idx="2">
                  <c:v>4.9583125274259669E-2</c:v>
                </c:pt>
                <c:pt idx="3">
                  <c:v>0.27521333064570314</c:v>
                </c:pt>
                <c:pt idx="4">
                  <c:v>0.24445116791900059</c:v>
                </c:pt>
                <c:pt idx="5">
                  <c:v>0.16964751993724539</c:v>
                </c:pt>
                <c:pt idx="6">
                  <c:v>0.11993713922079763</c:v>
                </c:pt>
                <c:pt idx="7">
                  <c:v>0.11258912212968517</c:v>
                </c:pt>
                <c:pt idx="8">
                  <c:v>9.0916243232404562E-2</c:v>
                </c:pt>
                <c:pt idx="9">
                  <c:v>7.617544849706856E-2</c:v>
                </c:pt>
                <c:pt idx="10">
                  <c:v>6.8203377130371654E-2</c:v>
                </c:pt>
                <c:pt idx="11">
                  <c:v>6.0976432965678964E-2</c:v>
                </c:pt>
                <c:pt idx="12">
                  <c:v>5.3469282508071869E-2</c:v>
                </c:pt>
                <c:pt idx="13">
                  <c:v>5.6697692095765279E-2</c:v>
                </c:pt>
                <c:pt idx="14">
                  <c:v>5.504993108248725E-2</c:v>
                </c:pt>
                <c:pt idx="15">
                  <c:v>5.8305943285312668E-2</c:v>
                </c:pt>
                <c:pt idx="16">
                  <c:v>5.283874525580786E-2</c:v>
                </c:pt>
                <c:pt idx="17">
                  <c:v>4.5898074767486842E-2</c:v>
                </c:pt>
                <c:pt idx="18">
                  <c:v>4.8743305204632902E-2</c:v>
                </c:pt>
                <c:pt idx="19">
                  <c:v>4.034124036281006E-2</c:v>
                </c:pt>
                <c:pt idx="20">
                  <c:v>3.3728091264693089E-2</c:v>
                </c:pt>
                <c:pt idx="21">
                  <c:v>2.8451932475534829E-2</c:v>
                </c:pt>
                <c:pt idx="22">
                  <c:v>2.4192420828355304E-2</c:v>
                </c:pt>
                <c:pt idx="23">
                  <c:v>2.0717625886986786E-2</c:v>
                </c:pt>
                <c:pt idx="24">
                  <c:v>1.7856530741468927E-2</c:v>
                </c:pt>
                <c:pt idx="25">
                  <c:v>1.5481003384931545E-2</c:v>
                </c:pt>
                <c:pt idx="26">
                  <c:v>1.3493679305907691E-2</c:v>
                </c:pt>
                <c:pt idx="27">
                  <c:v>1.1819638220852437E-2</c:v>
                </c:pt>
                <c:pt idx="28">
                  <c:v>1.0400576385407454E-2</c:v>
                </c:pt>
                <c:pt idx="29">
                  <c:v>9.1906561801830128E-3</c:v>
                </c:pt>
                <c:pt idx="30">
                  <c:v>8.1535048428563236E-3</c:v>
                </c:pt>
                <c:pt idx="31">
                  <c:v>7.2600141661612345E-3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FD-442A-9782-2DAE77527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122960"/>
        <c:axId val="1807123440"/>
      </c:lineChart>
      <c:catAx>
        <c:axId val="1807122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7123440"/>
        <c:crosses val="autoZero"/>
        <c:auto val="1"/>
        <c:lblAlgn val="ctr"/>
        <c:lblOffset val="100"/>
        <c:noMultiLvlLbl val="0"/>
      </c:catAx>
      <c:valAx>
        <c:axId val="180712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712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4762</xdr:rowOff>
    </xdr:from>
    <xdr:to>
      <xdr:col>22</xdr:col>
      <xdr:colOff>304800</xdr:colOff>
      <xdr:row>15</xdr:row>
      <xdr:rowOff>80962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0426AA9-1D40-35B9-9558-DD6C61D1B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15</xdr:row>
      <xdr:rowOff>100012</xdr:rowOff>
    </xdr:from>
    <xdr:to>
      <xdr:col>22</xdr:col>
      <xdr:colOff>314325</xdr:colOff>
      <xdr:row>29</xdr:row>
      <xdr:rowOff>176212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97B5420-257C-CE0E-B09E-D8DBC5A0C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333375</xdr:colOff>
      <xdr:row>1</xdr:row>
      <xdr:rowOff>14287</xdr:rowOff>
    </xdr:from>
    <xdr:to>
      <xdr:col>30</xdr:col>
      <xdr:colOff>28575</xdr:colOff>
      <xdr:row>15</xdr:row>
      <xdr:rowOff>90487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93313BE2-45F1-038C-45BA-C64D9E738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42A1-F654-4428-A483-B097B08E65BF}">
  <dimension ref="A1:N33"/>
  <sheetViews>
    <sheetView tabSelected="1" zoomScaleNormal="100" workbookViewId="0">
      <selection activeCell="N15" sqref="N15"/>
    </sheetView>
  </sheetViews>
  <sheetFormatPr defaultRowHeight="15" x14ac:dyDescent="0.25"/>
  <cols>
    <col min="1" max="1" width="10.42578125" customWidth="1"/>
    <col min="4" max="5" width="9.140625" customWidth="1"/>
    <col min="10" max="10" width="9.140625" customWidth="1"/>
  </cols>
  <sheetData>
    <row r="1" spans="1:14" ht="48" customHeight="1" x14ac:dyDescent="0.25">
      <c r="A1" s="1" t="s">
        <v>0</v>
      </c>
      <c r="B1" s="1" t="s">
        <v>11</v>
      </c>
      <c r="C1" s="1" t="s">
        <v>1</v>
      </c>
      <c r="D1" s="1" t="s">
        <v>12</v>
      </c>
      <c r="E1" s="3" t="s">
        <v>2</v>
      </c>
      <c r="F1" s="1" t="s">
        <v>10</v>
      </c>
      <c r="G1" s="1" t="s">
        <v>3</v>
      </c>
      <c r="H1" s="2" t="s">
        <v>4</v>
      </c>
      <c r="I1" s="2" t="s">
        <v>5</v>
      </c>
      <c r="J1" s="2" t="s">
        <v>6</v>
      </c>
      <c r="K1" s="1" t="s">
        <v>9</v>
      </c>
      <c r="L1" s="1" t="s">
        <v>7</v>
      </c>
      <c r="M1" s="1" t="s">
        <v>8</v>
      </c>
      <c r="N1" s="3"/>
    </row>
    <row r="2" spans="1:14" x14ac:dyDescent="0.25">
      <c r="A2">
        <v>1</v>
      </c>
      <c r="B2">
        <v>0</v>
      </c>
      <c r="C2">
        <v>40</v>
      </c>
      <c r="D2">
        <f>SUM($B$2:B2)</f>
        <v>0</v>
      </c>
      <c r="E2">
        <v>4</v>
      </c>
      <c r="F2">
        <f t="shared" ref="F2:F33" si="0">C2/60</f>
        <v>0.66666666666666663</v>
      </c>
      <c r="G2">
        <v>1</v>
      </c>
      <c r="H2">
        <f>COUNTIF($D$2:$D$33,"&lt;="&amp;G2*60)/G2</f>
        <v>3</v>
      </c>
      <c r="I2">
        <f>60/AVERAGEIF($D$2:$D$33,"&lt;="&amp;G2*60,$C$2:$C$33)</f>
        <v>1.0909090909090908</v>
      </c>
      <c r="J2">
        <f>H2/($E$2*I2)</f>
        <v>0.6875</v>
      </c>
      <c r="K2">
        <f>IF(J2&gt;=1,"",1/(1+(H2/I2)+(H2/I2)^2/FACT(2)+(H2/I2)^3/FACT(3)+((H2/I2)^4/(FACT(4)*(1-J2)))))</f>
        <v>5.3697281575120256E-2</v>
      </c>
      <c r="L2">
        <f>IF(J2&gt;=1,"",(K2*(H2/I2)^4*J2)/(FACT(4)*(1-J2)^2))</f>
        <v>0.90083342655778054</v>
      </c>
      <c r="M2">
        <f>IF(J2&gt;=1,"",L2/H2)</f>
        <v>0.30027780885259353</v>
      </c>
    </row>
    <row r="3" spans="1:14" x14ac:dyDescent="0.25">
      <c r="A3">
        <v>2</v>
      </c>
      <c r="B3">
        <v>6</v>
      </c>
      <c r="C3">
        <v>60</v>
      </c>
      <c r="D3">
        <f>SUM($B$2:B3)</f>
        <v>6</v>
      </c>
      <c r="F3">
        <f t="shared" si="0"/>
        <v>1</v>
      </c>
      <c r="G3">
        <v>2</v>
      </c>
      <c r="H3">
        <f t="shared" ref="H3:H33" si="1">COUNTIF($D$2:$D$33,"&lt;="&amp;G3*60)/G3</f>
        <v>2</v>
      </c>
      <c r="I3">
        <f t="shared" ref="I3:I33" si="2">60/AVERAGEIF($D$2:$D$33,"&lt;="&amp;G3*60,$C$2:$C$33)</f>
        <v>1.0666666666666667</v>
      </c>
      <c r="J3">
        <f t="shared" ref="J3:J33" si="3">H3/($E$2*I3)</f>
        <v>0.46875</v>
      </c>
      <c r="K3">
        <f t="shared" ref="K3:K33" si="4">IF(J3&gt;=1,"",1/(1+(H3/I3)+(H3/I3)^2/FACT(2)+(H3/I3)^3/FACT(3)+((H3/I3)^4/(FACT(4)*(1-J3)))))</f>
        <v>0.14923530622042383</v>
      </c>
      <c r="L3">
        <f t="shared" ref="L3:L33" si="5">IF(J3&gt;=1,"",(K3*(H3/I3)^4*J3)/(FACT(4)*(1-J3)^2))</f>
        <v>0.12764647385598502</v>
      </c>
      <c r="M3">
        <f t="shared" ref="M3:M33" si="6">IF(J3&gt;=1,"",L3/H3)</f>
        <v>6.3823236927992508E-2</v>
      </c>
    </row>
    <row r="4" spans="1:14" x14ac:dyDescent="0.25">
      <c r="A4">
        <v>3</v>
      </c>
      <c r="B4">
        <v>40</v>
      </c>
      <c r="C4">
        <v>65</v>
      </c>
      <c r="D4">
        <f>SUM($B$2:B4)</f>
        <v>46</v>
      </c>
      <c r="F4">
        <f t="shared" si="0"/>
        <v>1.0833333333333333</v>
      </c>
      <c r="G4">
        <v>3</v>
      </c>
      <c r="H4">
        <f t="shared" si="1"/>
        <v>2</v>
      </c>
      <c r="I4">
        <f t="shared" si="2"/>
        <v>1.125</v>
      </c>
      <c r="J4">
        <f t="shared" si="3"/>
        <v>0.44444444444444442</v>
      </c>
      <c r="K4">
        <f t="shared" si="4"/>
        <v>0.16546370693177176</v>
      </c>
      <c r="L4">
        <f t="shared" si="5"/>
        <v>9.9166250548519339E-2</v>
      </c>
      <c r="M4">
        <f t="shared" si="6"/>
        <v>4.9583125274259669E-2</v>
      </c>
    </row>
    <row r="5" spans="1:14" x14ac:dyDescent="0.25">
      <c r="A5">
        <v>4</v>
      </c>
      <c r="B5">
        <v>30</v>
      </c>
      <c r="C5">
        <v>60</v>
      </c>
      <c r="D5">
        <f>SUM($B$2:B5)</f>
        <v>76</v>
      </c>
      <c r="F5">
        <f t="shared" si="0"/>
        <v>1</v>
      </c>
      <c r="G5">
        <v>4</v>
      </c>
      <c r="H5">
        <f t="shared" si="1"/>
        <v>2.75</v>
      </c>
      <c r="I5">
        <f t="shared" si="2"/>
        <v>1.03125</v>
      </c>
      <c r="J5">
        <f t="shared" si="3"/>
        <v>0.66666666666666663</v>
      </c>
      <c r="K5">
        <f t="shared" si="4"/>
        <v>5.9866962305986704E-2</v>
      </c>
      <c r="L5">
        <f t="shared" si="5"/>
        <v>0.75683665927568355</v>
      </c>
      <c r="M5">
        <f t="shared" si="6"/>
        <v>0.27521333064570314</v>
      </c>
    </row>
    <row r="6" spans="1:14" x14ac:dyDescent="0.25">
      <c r="A6">
        <v>5</v>
      </c>
      <c r="B6">
        <v>50</v>
      </c>
      <c r="C6">
        <v>40</v>
      </c>
      <c r="D6">
        <f>SUM($B$2:B6)</f>
        <v>126</v>
      </c>
      <c r="F6">
        <f t="shared" si="0"/>
        <v>0.66666666666666663</v>
      </c>
      <c r="G6">
        <v>5</v>
      </c>
      <c r="H6">
        <f t="shared" si="1"/>
        <v>2.6</v>
      </c>
      <c r="I6">
        <f t="shared" si="2"/>
        <v>1.0064516129032259</v>
      </c>
      <c r="J6">
        <f t="shared" si="3"/>
        <v>0.64583333333333326</v>
      </c>
      <c r="K6">
        <f t="shared" si="4"/>
        <v>6.6519630265344867E-2</v>
      </c>
      <c r="L6">
        <f t="shared" si="5"/>
        <v>0.63557303658940156</v>
      </c>
      <c r="M6">
        <f t="shared" si="6"/>
        <v>0.24445116791900059</v>
      </c>
    </row>
    <row r="7" spans="1:14" x14ac:dyDescent="0.25">
      <c r="A7">
        <v>6</v>
      </c>
      <c r="B7">
        <v>30</v>
      </c>
      <c r="C7">
        <v>55</v>
      </c>
      <c r="D7">
        <f>SUM($B$2:B7)</f>
        <v>156</v>
      </c>
      <c r="F7">
        <f t="shared" si="0"/>
        <v>0.91666666666666663</v>
      </c>
      <c r="G7">
        <v>6</v>
      </c>
      <c r="H7">
        <f t="shared" si="1"/>
        <v>2.3333333333333335</v>
      </c>
      <c r="I7">
        <f t="shared" si="2"/>
        <v>0.98823529411764699</v>
      </c>
      <c r="J7">
        <f t="shared" si="3"/>
        <v>0.5902777777777779</v>
      </c>
      <c r="K7">
        <f t="shared" si="4"/>
        <v>8.6934557483312108E-2</v>
      </c>
      <c r="L7">
        <f t="shared" si="5"/>
        <v>0.39584421318690594</v>
      </c>
      <c r="M7">
        <f t="shared" si="6"/>
        <v>0.16964751993724539</v>
      </c>
    </row>
    <row r="8" spans="1:14" x14ac:dyDescent="0.25">
      <c r="A8">
        <v>7</v>
      </c>
      <c r="B8">
        <v>25</v>
      </c>
      <c r="C8">
        <v>65</v>
      </c>
      <c r="D8">
        <f>SUM($B$2:B8)</f>
        <v>181</v>
      </c>
      <c r="F8">
        <f t="shared" si="0"/>
        <v>1.0833333333333333</v>
      </c>
      <c r="G8">
        <v>7</v>
      </c>
      <c r="H8">
        <f t="shared" si="1"/>
        <v>2.1428571428571428</v>
      </c>
      <c r="I8">
        <f t="shared" si="2"/>
        <v>0.98901098901098905</v>
      </c>
      <c r="J8">
        <f t="shared" si="3"/>
        <v>0.54166666666666663</v>
      </c>
      <c r="K8">
        <f t="shared" si="4"/>
        <v>0.10854767234684089</v>
      </c>
      <c r="L8">
        <f t="shared" si="5"/>
        <v>0.25700815547313777</v>
      </c>
      <c r="M8">
        <f t="shared" si="6"/>
        <v>0.11993713922079763</v>
      </c>
    </row>
    <row r="9" spans="1:14" x14ac:dyDescent="0.25">
      <c r="A9">
        <v>8</v>
      </c>
      <c r="B9">
        <v>5</v>
      </c>
      <c r="C9">
        <v>60</v>
      </c>
      <c r="D9">
        <f>SUM($B$2:B9)</f>
        <v>186</v>
      </c>
      <c r="F9">
        <f t="shared" si="0"/>
        <v>1</v>
      </c>
      <c r="G9">
        <v>8</v>
      </c>
      <c r="H9">
        <f t="shared" si="1"/>
        <v>2.125</v>
      </c>
      <c r="I9">
        <f t="shared" si="2"/>
        <v>0.99512195121951219</v>
      </c>
      <c r="J9">
        <f t="shared" si="3"/>
        <v>0.53385416666666663</v>
      </c>
      <c r="K9">
        <f t="shared" si="4"/>
        <v>0.11239760919519766</v>
      </c>
      <c r="L9">
        <f t="shared" si="5"/>
        <v>0.23925188452558097</v>
      </c>
      <c r="M9">
        <f t="shared" si="6"/>
        <v>0.11258912212968517</v>
      </c>
    </row>
    <row r="10" spans="1:14" x14ac:dyDescent="0.25">
      <c r="A10">
        <v>9</v>
      </c>
      <c r="B10">
        <v>15</v>
      </c>
      <c r="C10">
        <v>60</v>
      </c>
      <c r="D10">
        <f>SUM($B$2:B10)</f>
        <v>201</v>
      </c>
      <c r="F10">
        <f t="shared" si="0"/>
        <v>1</v>
      </c>
      <c r="G10">
        <v>9</v>
      </c>
      <c r="H10">
        <f t="shared" si="1"/>
        <v>2</v>
      </c>
      <c r="I10">
        <f t="shared" si="2"/>
        <v>0.99082568807339444</v>
      </c>
      <c r="J10">
        <f t="shared" si="3"/>
        <v>0.50462962962962965</v>
      </c>
      <c r="K10">
        <f t="shared" si="4"/>
        <v>0.12783184967825784</v>
      </c>
      <c r="L10">
        <f t="shared" si="5"/>
        <v>0.18183248646480912</v>
      </c>
      <c r="M10">
        <f t="shared" si="6"/>
        <v>9.0916243232404562E-2</v>
      </c>
    </row>
    <row r="11" spans="1:14" x14ac:dyDescent="0.25">
      <c r="A11">
        <v>10</v>
      </c>
      <c r="B11">
        <v>15</v>
      </c>
      <c r="C11">
        <v>70</v>
      </c>
      <c r="D11">
        <f>SUM($B$2:B11)</f>
        <v>216</v>
      </c>
      <c r="F11">
        <f t="shared" si="0"/>
        <v>1.1666666666666667</v>
      </c>
      <c r="G11">
        <v>10</v>
      </c>
      <c r="H11">
        <f t="shared" si="1"/>
        <v>1.9</v>
      </c>
      <c r="I11">
        <f t="shared" si="2"/>
        <v>0.98701298701298701</v>
      </c>
      <c r="J11">
        <f t="shared" si="3"/>
        <v>0.48124999999999996</v>
      </c>
      <c r="K11">
        <f t="shared" si="4"/>
        <v>0.14144982161665007</v>
      </c>
      <c r="L11">
        <f t="shared" si="5"/>
        <v>0.14473335214443026</v>
      </c>
      <c r="M11">
        <f t="shared" si="6"/>
        <v>7.617544849706856E-2</v>
      </c>
    </row>
    <row r="12" spans="1:14" x14ac:dyDescent="0.25">
      <c r="A12">
        <v>11</v>
      </c>
      <c r="B12">
        <v>10</v>
      </c>
      <c r="C12">
        <v>65</v>
      </c>
      <c r="D12">
        <f>SUM($B$2:B12)</f>
        <v>226</v>
      </c>
      <c r="F12">
        <f t="shared" si="0"/>
        <v>1.0833333333333333</v>
      </c>
      <c r="G12">
        <v>11</v>
      </c>
      <c r="H12">
        <f t="shared" si="1"/>
        <v>1.8181818181818181</v>
      </c>
      <c r="I12">
        <f t="shared" si="2"/>
        <v>0.97560975609756095</v>
      </c>
      <c r="J12">
        <f t="shared" si="3"/>
        <v>0.46590909090909088</v>
      </c>
      <c r="K12">
        <f t="shared" si="4"/>
        <v>0.15105632516819642</v>
      </c>
      <c r="L12">
        <f t="shared" si="5"/>
        <v>0.12400614023703936</v>
      </c>
      <c r="M12">
        <f t="shared" si="6"/>
        <v>6.8203377130371654E-2</v>
      </c>
    </row>
    <row r="13" spans="1:14" x14ac:dyDescent="0.25">
      <c r="A13">
        <v>12</v>
      </c>
      <c r="B13">
        <v>30</v>
      </c>
      <c r="C13">
        <v>70</v>
      </c>
      <c r="D13">
        <f>SUM($B$2:B13)</f>
        <v>256</v>
      </c>
      <c r="F13">
        <f t="shared" si="0"/>
        <v>1.1666666666666667</v>
      </c>
      <c r="G13">
        <v>12</v>
      </c>
      <c r="H13">
        <f t="shared" si="1"/>
        <v>1.75</v>
      </c>
      <c r="I13">
        <f t="shared" si="2"/>
        <v>0.96923076923076923</v>
      </c>
      <c r="J13">
        <f t="shared" si="3"/>
        <v>0.4513888888888889</v>
      </c>
      <c r="K13">
        <f t="shared" si="4"/>
        <v>0.16067422577785773</v>
      </c>
      <c r="L13">
        <f t="shared" si="5"/>
        <v>0.10670875768993819</v>
      </c>
      <c r="M13">
        <f t="shared" si="6"/>
        <v>6.0976432965678964E-2</v>
      </c>
    </row>
    <row r="14" spans="1:14" x14ac:dyDescent="0.25">
      <c r="A14">
        <v>13</v>
      </c>
      <c r="B14">
        <v>40</v>
      </c>
      <c r="C14">
        <v>65</v>
      </c>
      <c r="D14">
        <f>SUM($B$2:B14)</f>
        <v>296</v>
      </c>
      <c r="F14">
        <f t="shared" si="0"/>
        <v>1.0833333333333333</v>
      </c>
      <c r="G14">
        <v>13</v>
      </c>
      <c r="H14">
        <f t="shared" si="1"/>
        <v>1.6923076923076923</v>
      </c>
      <c r="I14">
        <f t="shared" si="2"/>
        <v>0.97058823529411764</v>
      </c>
      <c r="J14">
        <f t="shared" si="3"/>
        <v>0.4358974358974359</v>
      </c>
      <c r="K14">
        <f t="shared" si="4"/>
        <v>0.17153373226753424</v>
      </c>
      <c r="L14">
        <f t="shared" si="5"/>
        <v>9.0486478090583161E-2</v>
      </c>
      <c r="M14">
        <f t="shared" si="6"/>
        <v>5.3469282508071869E-2</v>
      </c>
    </row>
    <row r="15" spans="1:14" x14ac:dyDescent="0.25">
      <c r="A15">
        <v>14</v>
      </c>
      <c r="B15">
        <v>40</v>
      </c>
      <c r="C15">
        <v>75</v>
      </c>
      <c r="D15">
        <f>SUM($B$2:B15)</f>
        <v>336</v>
      </c>
      <c r="F15">
        <f t="shared" si="0"/>
        <v>1.25</v>
      </c>
      <c r="G15">
        <v>14</v>
      </c>
      <c r="H15">
        <f t="shared" si="1"/>
        <v>1.7142857142857142</v>
      </c>
      <c r="I15">
        <f t="shared" si="2"/>
        <v>0.96839273705447204</v>
      </c>
      <c r="J15">
        <f t="shared" si="3"/>
        <v>0.44255952380952379</v>
      </c>
      <c r="K15">
        <f t="shared" si="4"/>
        <v>0.16678554478137519</v>
      </c>
      <c r="L15">
        <f t="shared" si="5"/>
        <v>9.7196043592740478E-2</v>
      </c>
      <c r="M15">
        <f t="shared" si="6"/>
        <v>5.6697692095765279E-2</v>
      </c>
    </row>
    <row r="16" spans="1:14" x14ac:dyDescent="0.25">
      <c r="A16">
        <v>15</v>
      </c>
      <c r="B16">
        <v>40</v>
      </c>
      <c r="C16">
        <v>60</v>
      </c>
      <c r="D16">
        <f>SUM($B$2:B16)</f>
        <v>376</v>
      </c>
      <c r="F16">
        <f t="shared" si="0"/>
        <v>1</v>
      </c>
      <c r="G16">
        <v>15</v>
      </c>
      <c r="H16">
        <f t="shared" si="1"/>
        <v>1.7333333333333334</v>
      </c>
      <c r="I16">
        <f t="shared" si="2"/>
        <v>0.98298676748582225</v>
      </c>
      <c r="J16">
        <f t="shared" si="3"/>
        <v>0.44083333333333335</v>
      </c>
      <c r="K16">
        <f t="shared" si="4"/>
        <v>0.16800436412965791</v>
      </c>
      <c r="L16">
        <f t="shared" si="5"/>
        <v>9.5419880542977897E-2</v>
      </c>
      <c r="M16">
        <f t="shared" si="6"/>
        <v>5.504993108248725E-2</v>
      </c>
    </row>
    <row r="17" spans="1:13" x14ac:dyDescent="0.25">
      <c r="A17">
        <v>16</v>
      </c>
      <c r="B17">
        <v>50</v>
      </c>
      <c r="C17">
        <v>50</v>
      </c>
      <c r="D17">
        <f>SUM($B$2:B17)</f>
        <v>426</v>
      </c>
      <c r="F17">
        <f t="shared" si="0"/>
        <v>0.83333333333333337</v>
      </c>
      <c r="G17">
        <v>16</v>
      </c>
      <c r="H17">
        <f t="shared" si="1"/>
        <v>1.75</v>
      </c>
      <c r="I17">
        <f t="shared" si="2"/>
        <v>0.97845078625509618</v>
      </c>
      <c r="J17">
        <f t="shared" si="3"/>
        <v>0.44713541666666662</v>
      </c>
      <c r="K17">
        <f t="shared" si="4"/>
        <v>0.16359285682444644</v>
      </c>
      <c r="L17">
        <f t="shared" si="5"/>
        <v>0.10203540074929716</v>
      </c>
      <c r="M17">
        <f t="shared" si="6"/>
        <v>5.8305943285312668E-2</v>
      </c>
    </row>
    <row r="18" spans="1:13" x14ac:dyDescent="0.25">
      <c r="A18">
        <v>17</v>
      </c>
      <c r="B18">
        <v>50</v>
      </c>
      <c r="C18">
        <v>65</v>
      </c>
      <c r="D18">
        <f>SUM($B$2:B18)</f>
        <v>476</v>
      </c>
      <c r="F18">
        <f t="shared" si="0"/>
        <v>1.0833333333333333</v>
      </c>
      <c r="G18">
        <v>17</v>
      </c>
      <c r="H18">
        <f t="shared" si="1"/>
        <v>1.7058823529411764</v>
      </c>
      <c r="I18">
        <f t="shared" si="2"/>
        <v>0.97917839054586386</v>
      </c>
      <c r="J18">
        <f t="shared" si="3"/>
        <v>0.43553921568627446</v>
      </c>
      <c r="K18">
        <f t="shared" si="4"/>
        <v>0.17179245068602952</v>
      </c>
      <c r="L18">
        <f t="shared" si="5"/>
        <v>9.0136683083436933E-2</v>
      </c>
      <c r="M18">
        <f t="shared" si="6"/>
        <v>5.283874525580786E-2</v>
      </c>
    </row>
    <row r="19" spans="1:13" x14ac:dyDescent="0.25">
      <c r="A19">
        <v>18</v>
      </c>
      <c r="B19">
        <v>55</v>
      </c>
      <c r="C19">
        <v>65</v>
      </c>
      <c r="D19">
        <f>SUM($B$2:B19)</f>
        <v>531</v>
      </c>
      <c r="F19">
        <f t="shared" si="0"/>
        <v>1.0833333333333333</v>
      </c>
      <c r="G19">
        <v>18</v>
      </c>
      <c r="H19">
        <f t="shared" si="1"/>
        <v>1.6666666666666667</v>
      </c>
      <c r="I19">
        <f t="shared" si="2"/>
        <v>0.99064391854705558</v>
      </c>
      <c r="J19">
        <f t="shared" si="3"/>
        <v>0.42060185185185189</v>
      </c>
      <c r="K19">
        <f t="shared" si="4"/>
        <v>0.18289961791462989</v>
      </c>
      <c r="L19">
        <f t="shared" si="5"/>
        <v>7.6496791279144744E-2</v>
      </c>
      <c r="M19">
        <f t="shared" si="6"/>
        <v>4.5898074767486842E-2</v>
      </c>
    </row>
    <row r="20" spans="1:13" x14ac:dyDescent="0.25">
      <c r="A20">
        <v>19</v>
      </c>
      <c r="B20">
        <v>45</v>
      </c>
      <c r="C20">
        <v>65</v>
      </c>
      <c r="D20">
        <f>SUM($B$2:B20)</f>
        <v>576</v>
      </c>
      <c r="F20">
        <f t="shared" si="0"/>
        <v>1.0833333333333333</v>
      </c>
      <c r="G20">
        <v>19</v>
      </c>
      <c r="H20">
        <f t="shared" si="1"/>
        <v>1.6842105263157894</v>
      </c>
      <c r="I20">
        <f t="shared" si="2"/>
        <v>0.98613251155624038</v>
      </c>
      <c r="J20">
        <f t="shared" si="3"/>
        <v>0.42697368421052628</v>
      </c>
      <c r="K20">
        <f t="shared" si="4"/>
        <v>0.17808453977251679</v>
      </c>
      <c r="L20">
        <f t="shared" si="5"/>
        <v>8.2093987713065933E-2</v>
      </c>
      <c r="M20">
        <f t="shared" si="6"/>
        <v>4.8743305204632902E-2</v>
      </c>
    </row>
    <row r="21" spans="1:13" x14ac:dyDescent="0.25">
      <c r="A21">
        <v>20</v>
      </c>
      <c r="B21">
        <v>55</v>
      </c>
      <c r="C21">
        <v>75</v>
      </c>
      <c r="D21">
        <f>SUM($B$2:B21)</f>
        <v>631</v>
      </c>
      <c r="F21">
        <f t="shared" si="0"/>
        <v>1.25</v>
      </c>
      <c r="G21">
        <v>20</v>
      </c>
      <c r="H21">
        <f t="shared" si="1"/>
        <v>1.6</v>
      </c>
      <c r="I21">
        <f t="shared" si="2"/>
        <v>0.98613251155624038</v>
      </c>
      <c r="J21">
        <f t="shared" si="3"/>
        <v>0.40562500000000001</v>
      </c>
      <c r="K21">
        <f t="shared" si="4"/>
        <v>0.1946874712162994</v>
      </c>
      <c r="L21">
        <f t="shared" si="5"/>
        <v>6.4545984580496096E-2</v>
      </c>
      <c r="M21">
        <f t="shared" si="6"/>
        <v>4.034124036281006E-2</v>
      </c>
    </row>
    <row r="22" spans="1:13" x14ac:dyDescent="0.25">
      <c r="A22">
        <v>21</v>
      </c>
      <c r="B22">
        <v>55</v>
      </c>
      <c r="C22">
        <v>70</v>
      </c>
      <c r="D22">
        <f>SUM($B$2:B22)</f>
        <v>686</v>
      </c>
      <c r="F22">
        <f t="shared" si="0"/>
        <v>1.1666666666666667</v>
      </c>
      <c r="G22">
        <v>21</v>
      </c>
      <c r="H22">
        <f t="shared" si="1"/>
        <v>1.5238095238095237</v>
      </c>
      <c r="I22">
        <f t="shared" si="2"/>
        <v>0.98613251155624038</v>
      </c>
      <c r="J22">
        <f t="shared" si="3"/>
        <v>0.38630952380952377</v>
      </c>
      <c r="K22">
        <f t="shared" si="4"/>
        <v>0.21091886036138777</v>
      </c>
      <c r="L22">
        <f t="shared" si="5"/>
        <v>5.1395186689056127E-2</v>
      </c>
      <c r="M22">
        <f t="shared" si="6"/>
        <v>3.3728091264693089E-2</v>
      </c>
    </row>
    <row r="23" spans="1:13" x14ac:dyDescent="0.25">
      <c r="A23">
        <v>22</v>
      </c>
      <c r="B23">
        <v>50</v>
      </c>
      <c r="C23">
        <v>60</v>
      </c>
      <c r="D23">
        <f>SUM($B$2:B23)</f>
        <v>736</v>
      </c>
      <c r="F23">
        <f t="shared" si="0"/>
        <v>1</v>
      </c>
      <c r="G23">
        <v>22</v>
      </c>
      <c r="H23">
        <f t="shared" si="1"/>
        <v>1.4545454545454546</v>
      </c>
      <c r="I23">
        <f t="shared" si="2"/>
        <v>0.98613251155624038</v>
      </c>
      <c r="J23">
        <f t="shared" si="3"/>
        <v>0.36875000000000002</v>
      </c>
      <c r="K23">
        <f t="shared" si="4"/>
        <v>0.22675296812291992</v>
      </c>
      <c r="L23">
        <f t="shared" si="5"/>
        <v>4.1384629055323391E-2</v>
      </c>
      <c r="M23">
        <f t="shared" si="6"/>
        <v>2.8451932475534829E-2</v>
      </c>
    </row>
    <row r="24" spans="1:13" x14ac:dyDescent="0.25">
      <c r="A24">
        <v>23</v>
      </c>
      <c r="B24">
        <v>45</v>
      </c>
      <c r="C24">
        <v>65</v>
      </c>
      <c r="D24">
        <f>SUM($B$2:B24)</f>
        <v>781</v>
      </c>
      <c r="F24">
        <f t="shared" si="0"/>
        <v>1.0833333333333333</v>
      </c>
      <c r="G24">
        <v>23</v>
      </c>
      <c r="H24">
        <f t="shared" si="1"/>
        <v>1.3913043478260869</v>
      </c>
      <c r="I24">
        <f t="shared" si="2"/>
        <v>0.98613251155624038</v>
      </c>
      <c r="J24">
        <f t="shared" si="3"/>
        <v>0.35271739130434782</v>
      </c>
      <c r="K24">
        <f t="shared" si="4"/>
        <v>0.24217329742457283</v>
      </c>
      <c r="L24">
        <f t="shared" si="5"/>
        <v>3.3659020282929115E-2</v>
      </c>
      <c r="M24">
        <f t="shared" si="6"/>
        <v>2.4192420828355304E-2</v>
      </c>
    </row>
    <row r="25" spans="1:13" x14ac:dyDescent="0.25">
      <c r="A25">
        <v>24</v>
      </c>
      <c r="B25">
        <v>45</v>
      </c>
      <c r="C25">
        <v>62</v>
      </c>
      <c r="D25">
        <f>SUM($B$2:B25)</f>
        <v>826</v>
      </c>
      <c r="F25">
        <f t="shared" si="0"/>
        <v>1.0333333333333334</v>
      </c>
      <c r="G25">
        <v>24</v>
      </c>
      <c r="H25">
        <f t="shared" si="1"/>
        <v>1.3333333333333333</v>
      </c>
      <c r="I25">
        <f t="shared" si="2"/>
        <v>0.98613251155624038</v>
      </c>
      <c r="J25">
        <f t="shared" si="3"/>
        <v>0.33802083333333333</v>
      </c>
      <c r="K25">
        <f t="shared" si="4"/>
        <v>0.25717059085202698</v>
      </c>
      <c r="L25">
        <f t="shared" si="5"/>
        <v>2.7623501182649047E-2</v>
      </c>
      <c r="M25">
        <f t="shared" si="6"/>
        <v>2.0717625886986786E-2</v>
      </c>
    </row>
    <row r="26" spans="1:13" x14ac:dyDescent="0.25">
      <c r="A26">
        <v>25</v>
      </c>
      <c r="B26">
        <v>50</v>
      </c>
      <c r="C26">
        <v>60</v>
      </c>
      <c r="D26">
        <f>SUM($B$2:B26)</f>
        <v>876</v>
      </c>
      <c r="F26">
        <f t="shared" si="0"/>
        <v>1</v>
      </c>
      <c r="G26">
        <v>25</v>
      </c>
      <c r="H26">
        <f t="shared" si="1"/>
        <v>1.28</v>
      </c>
      <c r="I26">
        <f t="shared" si="2"/>
        <v>0.98613251155624038</v>
      </c>
      <c r="J26">
        <f t="shared" si="3"/>
        <v>0.32450000000000001</v>
      </c>
      <c r="K26">
        <f t="shared" si="4"/>
        <v>0.27174122750986712</v>
      </c>
      <c r="L26">
        <f t="shared" si="5"/>
        <v>2.2856359349080226E-2</v>
      </c>
      <c r="M26">
        <f t="shared" si="6"/>
        <v>1.7856530741468927E-2</v>
      </c>
    </row>
    <row r="27" spans="1:13" x14ac:dyDescent="0.25">
      <c r="A27">
        <v>26</v>
      </c>
      <c r="B27">
        <v>10</v>
      </c>
      <c r="C27">
        <v>40</v>
      </c>
      <c r="D27">
        <f>SUM($B$2:B27)</f>
        <v>886</v>
      </c>
      <c r="F27">
        <f t="shared" si="0"/>
        <v>0.66666666666666663</v>
      </c>
      <c r="G27">
        <v>26</v>
      </c>
      <c r="H27">
        <f t="shared" si="1"/>
        <v>1.2307692307692308</v>
      </c>
      <c r="I27">
        <f t="shared" si="2"/>
        <v>0.98613251155624038</v>
      </c>
      <c r="J27">
        <f t="shared" si="3"/>
        <v>0.31201923076923077</v>
      </c>
      <c r="K27">
        <f t="shared" si="4"/>
        <v>0.28588594241558452</v>
      </c>
      <c r="L27">
        <f t="shared" si="5"/>
        <v>1.9053542627608056E-2</v>
      </c>
      <c r="M27">
        <f t="shared" si="6"/>
        <v>1.5481003384931545E-2</v>
      </c>
    </row>
    <row r="28" spans="1:13" x14ac:dyDescent="0.25">
      <c r="A28">
        <v>27</v>
      </c>
      <c r="B28">
        <v>25</v>
      </c>
      <c r="C28">
        <v>55</v>
      </c>
      <c r="D28">
        <f>SUM($B$2:B28)</f>
        <v>911</v>
      </c>
      <c r="F28">
        <f t="shared" si="0"/>
        <v>0.91666666666666663</v>
      </c>
      <c r="G28">
        <v>27</v>
      </c>
      <c r="H28">
        <f t="shared" si="1"/>
        <v>1.1851851851851851</v>
      </c>
      <c r="I28">
        <f t="shared" si="2"/>
        <v>0.98613251155624038</v>
      </c>
      <c r="J28">
        <f t="shared" si="3"/>
        <v>0.30046296296296293</v>
      </c>
      <c r="K28">
        <f t="shared" si="4"/>
        <v>0.29960880547008711</v>
      </c>
      <c r="L28">
        <f t="shared" si="5"/>
        <v>1.5992508807001708E-2</v>
      </c>
      <c r="M28">
        <f t="shared" si="6"/>
        <v>1.3493679305907691E-2</v>
      </c>
    </row>
    <row r="29" spans="1:13" x14ac:dyDescent="0.25">
      <c r="A29">
        <v>28</v>
      </c>
      <c r="B29">
        <v>25</v>
      </c>
      <c r="C29">
        <v>75</v>
      </c>
      <c r="D29">
        <f>SUM($B$2:B29)</f>
        <v>936</v>
      </c>
      <c r="F29">
        <f t="shared" si="0"/>
        <v>1.25</v>
      </c>
      <c r="G29">
        <v>28</v>
      </c>
      <c r="H29">
        <f t="shared" si="1"/>
        <v>1.1428571428571428</v>
      </c>
      <c r="I29">
        <f t="shared" si="2"/>
        <v>0.98613251155624038</v>
      </c>
      <c r="J29">
        <f t="shared" si="3"/>
        <v>0.28973214285714283</v>
      </c>
      <c r="K29">
        <f t="shared" si="4"/>
        <v>0.31291640879893767</v>
      </c>
      <c r="L29">
        <f t="shared" si="5"/>
        <v>1.3508157966688498E-2</v>
      </c>
      <c r="M29">
        <f t="shared" si="6"/>
        <v>1.1819638220852437E-2</v>
      </c>
    </row>
    <row r="30" spans="1:13" x14ac:dyDescent="0.25">
      <c r="A30">
        <v>29</v>
      </c>
      <c r="B30">
        <v>55</v>
      </c>
      <c r="C30">
        <v>60</v>
      </c>
      <c r="D30">
        <f>SUM($B$2:B30)</f>
        <v>991</v>
      </c>
      <c r="F30">
        <f t="shared" si="0"/>
        <v>1</v>
      </c>
      <c r="G30">
        <v>29</v>
      </c>
      <c r="H30">
        <f t="shared" si="1"/>
        <v>1.103448275862069</v>
      </c>
      <c r="I30">
        <f t="shared" si="2"/>
        <v>0.98613251155624038</v>
      </c>
      <c r="J30">
        <f t="shared" si="3"/>
        <v>0.27974137931034482</v>
      </c>
      <c r="K30">
        <f t="shared" si="4"/>
        <v>0.32581722108668909</v>
      </c>
      <c r="L30">
        <f t="shared" si="5"/>
        <v>1.1476498080449605E-2</v>
      </c>
      <c r="M30">
        <f t="shared" si="6"/>
        <v>1.0400576385407454E-2</v>
      </c>
    </row>
    <row r="31" spans="1:13" x14ac:dyDescent="0.25">
      <c r="A31">
        <v>30</v>
      </c>
      <c r="B31">
        <v>55</v>
      </c>
      <c r="C31">
        <v>40</v>
      </c>
      <c r="D31">
        <f>SUM($B$2:B31)</f>
        <v>1046</v>
      </c>
      <c r="F31">
        <f t="shared" si="0"/>
        <v>0.66666666666666663</v>
      </c>
      <c r="G31">
        <v>30</v>
      </c>
      <c r="H31">
        <f t="shared" si="1"/>
        <v>1.0666666666666667</v>
      </c>
      <c r="I31">
        <f t="shared" si="2"/>
        <v>0.98613251155624038</v>
      </c>
      <c r="J31">
        <f t="shared" si="3"/>
        <v>0.27041666666666664</v>
      </c>
      <c r="K31">
        <f t="shared" si="4"/>
        <v>0.33832107560997571</v>
      </c>
      <c r="L31">
        <f t="shared" si="5"/>
        <v>9.8033665921952139E-3</v>
      </c>
      <c r="M31">
        <f t="shared" si="6"/>
        <v>9.1906561801830128E-3</v>
      </c>
    </row>
    <row r="32" spans="1:13" x14ac:dyDescent="0.25">
      <c r="A32">
        <v>31</v>
      </c>
      <c r="B32">
        <v>40</v>
      </c>
      <c r="C32">
        <v>70</v>
      </c>
      <c r="D32">
        <f>SUM($B$2:B32)</f>
        <v>1086</v>
      </c>
      <c r="F32">
        <f t="shared" si="0"/>
        <v>1.1666666666666667</v>
      </c>
      <c r="G32">
        <v>31</v>
      </c>
      <c r="H32">
        <f t="shared" si="1"/>
        <v>1.032258064516129</v>
      </c>
      <c r="I32">
        <f t="shared" si="2"/>
        <v>0.98613251155624038</v>
      </c>
      <c r="J32">
        <f t="shared" si="3"/>
        <v>0.26169354838709674</v>
      </c>
      <c r="K32">
        <f t="shared" si="4"/>
        <v>0.35043876525133077</v>
      </c>
      <c r="L32">
        <f t="shared" si="5"/>
        <v>8.4165211281097534E-3</v>
      </c>
      <c r="M32">
        <f t="shared" si="6"/>
        <v>8.1535048428563236E-3</v>
      </c>
    </row>
    <row r="33" spans="1:13" x14ac:dyDescent="0.25">
      <c r="A33">
        <v>32</v>
      </c>
      <c r="B33">
        <v>50</v>
      </c>
      <c r="C33">
        <v>60</v>
      </c>
      <c r="D33">
        <f>SUM($B$2:B33)</f>
        <v>1136</v>
      </c>
      <c r="F33">
        <f t="shared" si="0"/>
        <v>1</v>
      </c>
      <c r="G33">
        <v>32</v>
      </c>
      <c r="H33">
        <f t="shared" si="1"/>
        <v>1</v>
      </c>
      <c r="I33">
        <f t="shared" si="2"/>
        <v>0.98613251155624038</v>
      </c>
      <c r="J33">
        <f t="shared" si="3"/>
        <v>0.25351562500000002</v>
      </c>
      <c r="K33">
        <f t="shared" si="4"/>
        <v>0.36218172308732316</v>
      </c>
      <c r="L33">
        <f t="shared" si="5"/>
        <v>7.2600141661612345E-3</v>
      </c>
      <c r="M33">
        <f t="shared" si="6"/>
        <v>7.2600141661612345E-3</v>
      </c>
    </row>
  </sheetData>
  <pageMargins left="0.7" right="0.7" top="0.75" bottom="0.75" header="0.3" footer="0.3"/>
  <pageSetup paperSize="0" orientation="portrait" horizontalDpi="0" verticalDpi="0" copies="0"/>
  <ignoredErrors>
    <ignoredError sqref="D3 D4:D3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2026-04-08T20:14:48Z</dcterms:modified>
</cp:coreProperties>
</file>